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35dc221b248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aint sample" sheetId="1" r:id="Rf491c020ca5a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dd mmm yyyy"/>
  </x:numFmts>
  <x:fonts count="6">
    <x:font>
      <x:sz val="11"/>
      <x:name val="Carlito"/>
    </x:font>
    <x:font>
      <x:sz val="11"/>
      <x:color rgb="FF183630"/>
      <x:name val="Arial"/>
    </x:font>
    <x:font>
      <x:b/>
      <x:sz val="17"/>
      <x:color rgb="FF183630"/>
      <x:name val="Arial"/>
    </x:font>
    <x:font>
      <x:i/>
      <x:sz val="10"/>
      <x:color rgb="FF596B64"/>
      <x:name val="Arial"/>
    </x:font>
    <x:font>
      <x:b/>
      <x:sz val="11"/>
      <x:color rgb="FFFFFFFF"/>
      <x:name val="Arial"/>
    </x:font>
    <x:font>
      <x:b/>
      <x:sz val="13"/>
      <x:color rgb="FF18363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D34"/>
      </x:patternFill>
    </x:fill>
    <x:fill>
      <x:patternFill patternType="solid">
        <x:fgColor rgb="FFF3F6E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875300"/>
      </x:font>
      <x:fill>
        <x:patternFill patternType="solid"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51e2a82d04406" /><Relationship Type="http://schemas.openxmlformats.org/officeDocument/2006/relationships/theme" Target="/xl/theme/theme1.xml" Id="Rb57fce4e2816481b" /><Relationship Type="http://schemas.openxmlformats.org/officeDocument/2006/relationships/sharedStrings" Target="/xl/sharedStrings.xml" Id="Rb3892000cc504d69" /><Relationship Type="http://schemas.openxmlformats.org/officeDocument/2006/relationships/worksheet" Target="/xl/worksheets/sheet1.xml" Id="Rf491c020ca5a4b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163c7f99784e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Complaint status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63804B"/>
            </a:solidFill>
          </c:spPr>
          <c:cat>
            <c:strRef>
              <c:f>'Complaint sample'!$B$7:$B$8</c:f>
              <c:strCache>
                <c:ptCount val="0"/>
              </c:strCache>
            </c:strRef>
          </c:cat>
          <c:val>
            <c:numRef>
              <c:f>'Complaint sample'!$C$7:$C$8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9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163c7f99784ea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2ca43009fd45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7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2" hidden="0" customWidth="1"/>
    <x:col min="1" max="1" width="3" hidden="0" customWidth="1"/>
  </x:cols>
  <x:sheetData>
    <x:row r="2">
      <x:c r="B2" s="6" t="str">
        <x:v>Maintenance complaint reporting sample</x:v>
      </x:c>
      <x:c r="C2" s="3"/>
      <x:c r="D2" s="3"/>
      <x:c r="E2" s="3"/>
      <x:c r="F2" s="3"/>
      <x:c r="G2" s="3"/>
      <x:c r="H2" s="3"/>
      <x:c r="I2" s="3"/>
      <x:c r="J2" s="3"/>
      <x:c r="K2" s="3"/>
    </x:row>
    <x:row r="3">
      <x:c r="B3" s="7" t="str">
        <x:v>Illustrative records. All sites, people and vendors are fictional.</x:v>
      </x:c>
      <x:c r="C3" s="3"/>
      <x:c r="D3" s="3"/>
      <x:c r="E3" s="3"/>
      <x:c r="F3" s="3"/>
      <x:c r="G3" s="3"/>
      <x:c r="H3" s="3"/>
      <x:c r="I3" s="3"/>
      <x:c r="J3" s="3"/>
      <x:c r="K3" s="3"/>
    </x:row>
    <x:row r="4"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>
      <x:c r="B5" s="9" t="str">
        <x:v>Metric</x:v>
      </x:c>
      <x:c r="C5" s="9" t="str">
        <x:v>Result</x:v>
      </x:c>
      <x:c r="D5" s="3"/>
      <x:c r="E5" s="3"/>
      <x:c r="F5" s="3"/>
      <x:c r="G5" s="3"/>
      <x:c r="H5" s="3"/>
      <x:c r="I5" s="3"/>
      <x:c r="J5" s="3"/>
      <x:c r="K5" s="3"/>
    </x:row>
    <x:row r="6">
      <x:c r="B6" s="3" t="str">
        <x:v>Total tickets</x:v>
      </x:c>
      <x:c r="C6" s="10" t="n">
        <x:f>COUNTA(B15:B26)</x:f>
        <x:v>12</x:v>
      </x:c>
      <x:c r="D6" s="3"/>
      <x:c r="E6" s="3"/>
      <x:c r="F6" s="3"/>
      <x:c r="G6" s="3"/>
      <x:c r="H6" s="3"/>
      <x:c r="I6" s="3"/>
      <x:c r="J6" s="3"/>
      <x:c r="K6" s="3"/>
    </x:row>
    <x:row r="7">
      <x:c r="B7" s="3" t="str">
        <x:v>Open tickets</x:v>
      </x:c>
      <x:c r="C7" s="10" t="n">
        <x:f>COUNTIFS(F15:F26,"Open")</x:f>
        <x:v>5</x:v>
      </x:c>
      <x:c r="D7" s="3"/>
      <x:c r="E7" s="3"/>
      <x:c r="F7" s="3"/>
      <x:c r="G7" s="3"/>
      <x:c r="H7" s="3"/>
      <x:c r="I7" s="3"/>
      <x:c r="J7" s="3"/>
      <x:c r="K7" s="3"/>
    </x:row>
    <x:row r="8">
      <x:c r="B8" s="3" t="str">
        <x:v>Closed tickets</x:v>
      </x:c>
      <x:c r="C8" s="10" t="n">
        <x:f>COUNTIFS(F15:F26,"Closed")</x:f>
        <x:v>7</x:v>
      </x:c>
      <x:c r="D8" s="3"/>
      <x:c r="E8" s="3"/>
      <x:c r="F8" s="3"/>
      <x:c r="G8" s="3"/>
      <x:c r="H8" s="3"/>
      <x:c r="I8" s="3"/>
      <x:c r="J8" s="3"/>
      <x:c r="K8" s="3"/>
    </x:row>
    <x:row r="9">
      <x:c r="B9" s="3" t="str">
        <x:v>Closure rate</x:v>
      </x:c>
      <x:c r="C9" s="11" t="n">
        <x:f>C8/C6</x:f>
        <x:v>0.5833333333333334</x:v>
      </x:c>
      <x:c r="D9" s="3"/>
      <x:c r="E9" s="3"/>
      <x:c r="F9" s="3"/>
      <x:c r="G9" s="3"/>
      <x:c r="H9" s="3"/>
      <x:c r="I9" s="3"/>
      <x:c r="J9" s="3"/>
      <x:c r="K9" s="3"/>
    </x:row>
    <x:row r="10">
      <x:c r="B10" s="3" t="str">
        <x:v>Open over 90 days</x:v>
      </x:c>
      <x:c r="C10" s="10" t="n">
        <x:f>COUNTIFS(F15:F26,"Open",I15:I26,"&gt;90")</x:f>
        <x:v>2</x:v>
      </x:c>
      <x:c r="D10" s="3"/>
      <x:c r="E10" s="3"/>
      <x:c r="F10" s="3"/>
      <x:c r="G10" s="3"/>
      <x:c r="H10" s="3"/>
      <x:c r="I10" s="3"/>
      <x:c r="J10" s="3"/>
      <x:c r="K10" s="3"/>
    </x:row>
    <x:row r="11"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>
      <x:c r="B12" s="3" t="str">
        <x:v>Reporting date</x:v>
      </x:c>
      <x:c r="C12" s="5" t="n">
        <x:v>46296</x:v>
      </x:c>
      <x:c r="D12" s="3"/>
      <x:c r="E12" s="3"/>
      <x:c r="F12" s="3"/>
      <x:c r="G12" s="3"/>
      <x:c r="H12" s="3"/>
      <x:c r="I12" s="3"/>
      <x:c r="J12" s="3"/>
      <x:c r="K12" s="3"/>
    </x:row>
    <x:row r="13"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8" customHeight="1">
      <x:c r="B14" s="9" t="str">
        <x:v>Ticket</x:v>
      </x:c>
      <x:c r="C14" s="9" t="str">
        <x:v>Site</x:v>
      </x:c>
      <x:c r="D14" s="9" t="str">
        <x:v>Region</x:v>
      </x:c>
      <x:c r="E14" s="9" t="str">
        <x:v>Issue</x:v>
      </x:c>
      <x:c r="F14" s="9" t="str">
        <x:v>Status</x:v>
      </x:c>
      <x:c r="G14" s="9" t="str">
        <x:v>Engineer</x:v>
      </x:c>
      <x:c r="H14" s="9" t="str">
        <x:v>Vendor</x:v>
      </x:c>
      <x:c r="I14" s="9" t="str">
        <x:v>Open age (days)</x:v>
      </x:c>
      <x:c r="J14" s="3"/>
      <x:c r="K14" s="3"/>
    </x:row>
    <x:row r="15" ht="24" customHeight="1">
      <x:c r="B15" s="12" t="str">
        <x:v>DEMO-001</x:v>
      </x:c>
      <x:c r="C15" s="12" t="str">
        <x:v>Site 01</x:v>
      </x:c>
      <x:c r="D15" s="12" t="str">
        <x:v>Region A</x:v>
      </x:c>
      <x:c r="E15" s="12" t="str">
        <x:v>Dispenser</x:v>
      </x:c>
      <x:c r="F15" s="12" t="str">
        <x:v>Open</x:v>
      </x:c>
      <x:c r="G15" s="12" t="str">
        <x:v>Engineer 01</x:v>
      </x:c>
      <x:c r="H15" s="12" t="str">
        <x:v>Vendor A</x:v>
      </x:c>
      <x:c r="I15" s="3" t="n">
        <x:v>120</x:v>
      </x:c>
      <x:c r="J15" s="3"/>
      <x:c r="K15" s="3"/>
    </x:row>
    <x:row r="16" ht="24" customHeight="1">
      <x:c r="B16" s="12" t="str">
        <x:v>DEMO-002</x:v>
      </x:c>
      <x:c r="C16" s="12" t="str">
        <x:v>Site 02</x:v>
      </x:c>
      <x:c r="D16" s="12" t="str">
        <x:v>Region B</x:v>
      </x:c>
      <x:c r="E16" s="12" t="str">
        <x:v>Electrical</x:v>
      </x:c>
      <x:c r="F16" s="12" t="str">
        <x:v>Closed</x:v>
      </x:c>
      <x:c r="G16" s="12" t="str">
        <x:v>Engineer 02</x:v>
      </x:c>
      <x:c r="H16" s="12" t="str">
        <x:v>Vendor B</x:v>
      </x:c>
      <x:c r="I16" s="3" t="n">
        <x:v>0</x:v>
      </x:c>
      <x:c r="J16" s="3"/>
      <x:c r="K16" s="3"/>
    </x:row>
    <x:row r="17" ht="24" customHeight="1">
      <x:c r="B17" s="12" t="str">
        <x:v>DEMO-003</x:v>
      </x:c>
      <x:c r="C17" s="12" t="str">
        <x:v>Site 03</x:v>
      </x:c>
      <x:c r="D17" s="12" t="str">
        <x:v>Region A</x:v>
      </x:c>
      <x:c r="E17" s="12" t="str">
        <x:v>Lighting</x:v>
      </x:c>
      <x:c r="F17" s="12" t="str">
        <x:v>Open</x:v>
      </x:c>
      <x:c r="G17" s="12" t="str">
        <x:v>Engineer 01</x:v>
      </x:c>
      <x:c r="H17" s="12" t="str">
        <x:v>Vendor A</x:v>
      </x:c>
      <x:c r="I17" s="3" t="n">
        <x:v>45</x:v>
      </x:c>
      <x:c r="J17" s="3"/>
      <x:c r="K17" s="3"/>
    </x:row>
    <x:row r="18" ht="24" customHeight="1">
      <x:c r="B18" s="12" t="str">
        <x:v>DEMO-004</x:v>
      </x:c>
      <x:c r="C18" s="12" t="str">
        <x:v>Site 04</x:v>
      </x:c>
      <x:c r="D18" s="12" t="str">
        <x:v>Region C</x:v>
      </x:c>
      <x:c r="E18" s="12" t="str">
        <x:v>Civil</x:v>
      </x:c>
      <x:c r="F18" s="12" t="str">
        <x:v>Closed</x:v>
      </x:c>
      <x:c r="G18" s="12" t="str">
        <x:v>Engineer 03</x:v>
      </x:c>
      <x:c r="H18" s="12" t="str">
        <x:v>Vendor C</x:v>
      </x:c>
      <x:c r="I18" s="3" t="n">
        <x:v>0</x:v>
      </x:c>
      <x:c r="J18" s="3"/>
      <x:c r="K18" s="3"/>
    </x:row>
    <x:row r="19" ht="24" customHeight="1">
      <x:c r="B19" s="12" t="str">
        <x:v>DEMO-005</x:v>
      </x:c>
      <x:c r="C19" s="12" t="str">
        <x:v>Site 05</x:v>
      </x:c>
      <x:c r="D19" s="12" t="str">
        <x:v>Region B</x:v>
      </x:c>
      <x:c r="E19" s="12" t="str">
        <x:v>Generator</x:v>
      </x:c>
      <x:c r="F19" s="12" t="str">
        <x:v>Open</x:v>
      </x:c>
      <x:c r="G19" s="12" t="str">
        <x:v>Engineer 02</x:v>
      </x:c>
      <x:c r="H19" s="12" t="str">
        <x:v>Vendor B</x:v>
      </x:c>
      <x:c r="I19" s="3" t="n">
        <x:v>96</x:v>
      </x:c>
      <x:c r="J19" s="3"/>
      <x:c r="K19" s="3"/>
    </x:row>
    <x:row r="20" ht="24" customHeight="1">
      <x:c r="B20" s="12" t="str">
        <x:v>DEMO-006</x:v>
      </x:c>
      <x:c r="C20" s="12" t="str">
        <x:v>Site 06</x:v>
      </x:c>
      <x:c r="D20" s="12" t="str">
        <x:v>Region A</x:v>
      </x:c>
      <x:c r="E20" s="12" t="str">
        <x:v>Signage</x:v>
      </x:c>
      <x:c r="F20" s="12" t="str">
        <x:v>Closed</x:v>
      </x:c>
      <x:c r="G20" s="12" t="str">
        <x:v>Engineer 01</x:v>
      </x:c>
      <x:c r="H20" s="12" t="str">
        <x:v>Vendor A</x:v>
      </x:c>
      <x:c r="I20" s="3" t="n">
        <x:v>0</x:v>
      </x:c>
      <x:c r="J20" s="3"/>
      <x:c r="K20" s="3"/>
    </x:row>
    <x:row r="21" ht="24" customHeight="1">
      <x:c r="B21" s="12" t="str">
        <x:v>DEMO-007</x:v>
      </x:c>
      <x:c r="C21" s="12" t="str">
        <x:v>Site 07</x:v>
      </x:c>
      <x:c r="D21" s="12" t="str">
        <x:v>Region C</x:v>
      </x:c>
      <x:c r="E21" s="12" t="str">
        <x:v>Dispenser</x:v>
      </x:c>
      <x:c r="F21" s="12" t="str">
        <x:v>Closed</x:v>
      </x:c>
      <x:c r="G21" s="12" t="str">
        <x:v>Engineer 03</x:v>
      </x:c>
      <x:c r="H21" s="12" t="str">
        <x:v>Vendor C</x:v>
      </x:c>
      <x:c r="I21" s="3" t="n">
        <x:v>0</x:v>
      </x:c>
      <x:c r="J21" s="3"/>
      <x:c r="K21" s="3"/>
    </x:row>
    <x:row r="22" ht="24" customHeight="1">
      <x:c r="B22" s="12" t="str">
        <x:v>DEMO-008</x:v>
      </x:c>
      <x:c r="C22" s="12" t="str">
        <x:v>Site 08</x:v>
      </x:c>
      <x:c r="D22" s="12" t="str">
        <x:v>Region B</x:v>
      </x:c>
      <x:c r="E22" s="12" t="str">
        <x:v>Electrical</x:v>
      </x:c>
      <x:c r="F22" s="12" t="str">
        <x:v>Open</x:v>
      </x:c>
      <x:c r="G22" s="12" t="str">
        <x:v>Engineer 02</x:v>
      </x:c>
      <x:c r="H22" s="12" t="str">
        <x:v>Vendor B</x:v>
      </x:c>
      <x:c r="I22" s="3" t="n">
        <x:v>8</x:v>
      </x:c>
      <x:c r="J22" s="3"/>
      <x:c r="K22" s="3"/>
    </x:row>
    <x:row r="23" ht="24" customHeight="1">
      <x:c r="B23" s="12" t="str">
        <x:v>DEMO-009</x:v>
      </x:c>
      <x:c r="C23" s="12" t="str">
        <x:v>Site 09</x:v>
      </x:c>
      <x:c r="D23" s="12" t="str">
        <x:v>Region A</x:v>
      </x:c>
      <x:c r="E23" s="12" t="str">
        <x:v>Civil</x:v>
      </x:c>
      <x:c r="F23" s="12" t="str">
        <x:v>Closed</x:v>
      </x:c>
      <x:c r="G23" s="12" t="str">
        <x:v>Engineer 01</x:v>
      </x:c>
      <x:c r="H23" s="12" t="str">
        <x:v>Vendor A</x:v>
      </x:c>
      <x:c r="I23" s="3" t="n">
        <x:v>0</x:v>
      </x:c>
      <x:c r="J23" s="3"/>
      <x:c r="K23" s="3"/>
    </x:row>
    <x:row r="24" ht="24" customHeight="1">
      <x:c r="B24" s="12" t="str">
        <x:v>DEMO-010</x:v>
      </x:c>
      <x:c r="C24" s="12" t="str">
        <x:v>Site 10</x:v>
      </x:c>
      <x:c r="D24" s="12" t="str">
        <x:v>Region C</x:v>
      </x:c>
      <x:c r="E24" s="12" t="str">
        <x:v>Lighting</x:v>
      </x:c>
      <x:c r="F24" s="12" t="str">
        <x:v>Closed</x:v>
      </x:c>
      <x:c r="G24" s="12" t="str">
        <x:v>Engineer 03</x:v>
      </x:c>
      <x:c r="H24" s="12" t="str">
        <x:v>Vendor C</x:v>
      </x:c>
      <x:c r="I24" s="3" t="n">
        <x:v>0</x:v>
      </x:c>
      <x:c r="J24" s="3"/>
      <x:c r="K24" s="3"/>
    </x:row>
    <x:row r="25" ht="24" customHeight="1">
      <x:c r="B25" s="12" t="str">
        <x:v>DEMO-011</x:v>
      </x:c>
      <x:c r="C25" s="12" t="str">
        <x:v>Site 11</x:v>
      </x:c>
      <x:c r="D25" s="12" t="str">
        <x:v>Region A</x:v>
      </x:c>
      <x:c r="E25" s="12" t="str">
        <x:v>Signage</x:v>
      </x:c>
      <x:c r="F25" s="12" t="str">
        <x:v>Open</x:v>
      </x:c>
      <x:c r="G25" s="12" t="str">
        <x:v>Engineer 01</x:v>
      </x:c>
      <x:c r="H25" s="12" t="str">
        <x:v>Vendor A</x:v>
      </x:c>
      <x:c r="I25" s="3" t="n">
        <x:v>30</x:v>
      </x:c>
      <x:c r="J25" s="3"/>
      <x:c r="K25" s="3"/>
    </x:row>
    <x:row r="26" ht="24" customHeight="1">
      <x:c r="B26" s="12" t="str">
        <x:v>DEMO-012</x:v>
      </x:c>
      <x:c r="C26" s="12" t="str">
        <x:v>Site 12</x:v>
      </x:c>
      <x:c r="D26" s="12" t="str">
        <x:v>Region B</x:v>
      </x:c>
      <x:c r="E26" s="12" t="str">
        <x:v>Generator</x:v>
      </x:c>
      <x:c r="F26" s="12" t="str">
        <x:v>Closed</x:v>
      </x:c>
      <x:c r="G26" s="12" t="str">
        <x:v>Engineer 02</x:v>
      </x:c>
      <x:c r="H26" s="12" t="str">
        <x:v>Vendor B</x:v>
      </x:c>
      <x:c r="I26" s="3" t="n">
        <x:v>0</x:v>
      </x:c>
      <x:c r="J26" s="3"/>
      <x:c r="K26" s="3"/>
    </x:row>
  </x:sheetData>
  <x:conditionalFormatting sqref="I15:I26">
    <x:cfRule type="cellIs" dxfId="0" priority="1" operator="greaterThan">
      <x:formula>90</x:formula>
    </x:cfRule>
  </x:conditionalFormatting>
  <x:dataValidations count="1">
    <x:dataValidation type="list" sqref="F15:F26">
      <x:formula1>"Open,Closed"</x:formula1>
    </x:dataValidation>
  </x:dataValidations>
  <x:pageMargins left="0.7" right="0.7" top="0.75" bottom="0.75" header="0.3" footer="0.3"/>
  <x:drawing xmlns:r="http://schemas.openxmlformats.org/officeDocument/2006/relationships" r:id="R282ca43009fd45ee"/>
</x:worksheet>
</file>